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2c4693fd3e934c/Desktop/ProyectoFinal/"/>
    </mc:Choice>
  </mc:AlternateContent>
  <xr:revisionPtr revIDLastSave="8" documentId="8_{7BF52AE5-D4BF-4682-8083-EA44E1588E9A}" xr6:coauthVersionLast="47" xr6:coauthVersionMax="47" xr10:uidLastSave="{8098A2B7-ADAD-46B3-9DD2-6156D7ECF9B8}"/>
  <bookViews>
    <workbookView xWindow="-108" yWindow="-108" windowWidth="23256" windowHeight="12456" xr2:uid="{00000000-000D-0000-FFFF-FFFF00000000}"/>
  </bookViews>
  <sheets>
    <sheet name="Sprint0" sheetId="3" r:id="rId1"/>
    <sheet name="No planificadas" sheetId="2" r:id="rId2"/>
  </sheets>
  <definedNames>
    <definedName name="_xlnm._FilterDatabase" localSheetId="0" hidden="1">Sprint0!$A$13:$H$35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H8" i="3"/>
  <c r="G8" i="3"/>
  <c r="H6" i="3"/>
  <c r="H7" i="3"/>
  <c r="H5" i="3"/>
  <c r="F35" i="3"/>
  <c r="E35" i="3"/>
  <c r="G6" i="3"/>
  <c r="G7" i="3"/>
  <c r="G5" i="3"/>
  <c r="D19" i="2" l="1"/>
</calcChain>
</file>

<file path=xl/sharedStrings.xml><?xml version="1.0" encoding="utf-8"?>
<sst xmlns="http://schemas.openxmlformats.org/spreadsheetml/2006/main" count="131" uniqueCount="75">
  <si>
    <t>SPRINT BACKLOG</t>
  </si>
  <si>
    <t>Proyecto:</t>
  </si>
  <si>
    <t>Sprint</t>
  </si>
  <si>
    <t>Team</t>
  </si>
  <si>
    <t>Horas-clase</t>
  </si>
  <si>
    <t>H. autónomas</t>
  </si>
  <si>
    <t>Total/semana</t>
  </si>
  <si>
    <t>Product Owner:</t>
  </si>
  <si>
    <t>Scrum Master:</t>
  </si>
  <si>
    <t>Nro. Desarrolladores</t>
  </si>
  <si>
    <t>Total horas</t>
  </si>
  <si>
    <t>Fecha Inicio SP1:</t>
  </si>
  <si>
    <t>Fecha Final SP1:</t>
  </si>
  <si>
    <t>Total</t>
  </si>
  <si>
    <t>PLANIFICACIÓN</t>
  </si>
  <si>
    <t>EJECUCIÓN</t>
  </si>
  <si>
    <t>Actividad / 
Historia de Usuario</t>
  </si>
  <si>
    <t>Desarrollador</t>
  </si>
  <si>
    <t>Fase 
Desarrollo</t>
  </si>
  <si>
    <t>TAREA</t>
  </si>
  <si>
    <r>
      <t xml:space="preserve">TIEMPO 
ESTIMADO
</t>
    </r>
    <r>
      <rPr>
        <sz val="9"/>
        <color theme="4" tint="-0.499984740745262"/>
        <rFont val="Calibri"/>
        <family val="2"/>
        <scheme val="minor"/>
      </rPr>
      <t>(Horas)</t>
    </r>
  </si>
  <si>
    <r>
      <t xml:space="preserve">TIEMPO 
REAL
</t>
    </r>
    <r>
      <rPr>
        <sz val="9"/>
        <color theme="4" tint="-0.499984740745262"/>
        <rFont val="Calibri"/>
        <family val="2"/>
        <scheme val="minor"/>
      </rPr>
      <t>(Horas)</t>
    </r>
  </si>
  <si>
    <t>ESTADO</t>
  </si>
  <si>
    <t>COMENTARIO</t>
  </si>
  <si>
    <t>HU-S1.1: Configuración Inicial del Proyecto</t>
  </si>
  <si>
    <t>Setup</t>
  </si>
  <si>
    <t>TO GO</t>
  </si>
  <si>
    <t>Diseño DB</t>
  </si>
  <si>
    <t>HU-S1.3: Interfaz de Registro (Front)</t>
  </si>
  <si>
    <t>UI/UX</t>
  </si>
  <si>
    <t>Desarrollo</t>
  </si>
  <si>
    <t>HU-S1.5: Interfaz de Login (Front)</t>
  </si>
  <si>
    <t>QA</t>
  </si>
  <si>
    <t>HU-S1.9: Documentación y CIERRE</t>
  </si>
  <si>
    <t>Documentación</t>
  </si>
  <si>
    <t>Total Equipo</t>
  </si>
  <si>
    <t>Cierre</t>
  </si>
  <si>
    <t>Reunión de revisión del Sprint 1 (Sprint Review).</t>
  </si>
  <si>
    <t xml:space="preserve">TOTAL </t>
  </si>
  <si>
    <t>DETALLE DE TAREAS NO PLANIFICADAS</t>
  </si>
  <si>
    <t>FECHA</t>
  </si>
  <si>
    <t>DESARROLLADOR</t>
  </si>
  <si>
    <t>DURACIÓN</t>
  </si>
  <si>
    <t>TOTAL</t>
  </si>
  <si>
    <t>Total Sprint (2 semanas)</t>
  </si>
  <si>
    <t>Fábrica de Software – Core Assets (Sistema Académico)</t>
  </si>
  <si>
    <t>Alex Luna</t>
  </si>
  <si>
    <t>Leonel Arellano</t>
  </si>
  <si>
    <t>Jostin Quilca</t>
  </si>
  <si>
    <t>Configurar el proyecto base del backend con Node.js (Apollo Server) y estructura de carpetas.</t>
  </si>
  <si>
    <t>Configurar el repositorio Git/GitHub y permisos de acceso para el equipo.</t>
  </si>
  <si>
    <t>Configurar el proyecto frontend base en Angular (CLI, módulos y routing).</t>
  </si>
  <si>
    <t>Configurar la base de datos y la conexión inicial mediante variables de entorno.</t>
  </si>
  <si>
    <t>HU-S1.2: Esquema GraphQL y Modelado de Datos</t>
  </si>
  <si>
    <t>Definir el esquema base de GraphQL (types, queries, mutations) para Usuarios y Roles.</t>
  </si>
  <si>
    <t>Modelar la entidad de Auditoría (logs de eventos: usuario, acción, fecha/hora).</t>
  </si>
  <si>
    <t>Diseño y maquetación del componente de Registro en Angular.</t>
  </si>
  <si>
    <t>Validaciones reactivas del formulario (email institucional, contraseña segura).</t>
  </si>
  <si>
    <t>HU-S1.4: Lógica de Registro y Seguridad (Back)</t>
  </si>
  <si>
    <t>Implementar mutation GraphQL de Registro con hash de contraseña (bcrypt).</t>
  </si>
  <si>
    <t>Persistir el usuario y su rol en la base de datos tras un registro exitoso.</t>
  </si>
  <si>
    <t>Diseño y maquetación del componente de Login en Angular.</t>
  </si>
  <si>
    <t>Implementar navegación y guardas de ruta (route guards) tras el inicio de sesión.</t>
  </si>
  <si>
    <t>HU-S1.6: Autenticación y Autorización (Back)</t>
  </si>
  <si>
    <t>Implementar mutation de Login con emisión y validación de tokens JWT.</t>
  </si>
  <si>
    <t>Implementar control de autorización por roles (directivas/middleware) en el API GraphQL.</t>
  </si>
  <si>
    <t>HU-S1.7: Auditoría y Recuperación de Contraseña</t>
  </si>
  <si>
    <t>Diseño del componente de recuperación de contraseña en Angular.</t>
  </si>
  <si>
    <t>Implementar el registro de eventos de auditoría (login, logout, accesos) en el backend.</t>
  </si>
  <si>
    <t>HU-S1.8: Pruebas y Revisión de Seguridad</t>
  </si>
  <si>
    <t>Pruebas de integración del API GraphQL (registro, login y autorización).</t>
  </si>
  <si>
    <t>Revisión de código y corrección de bugs en los componentes de Angular.</t>
  </si>
  <si>
    <t>Pruebas de seguridad básicas (validación de tokens y control de acceso por rol).</t>
  </si>
  <si>
    <t>Documentar el esquema GraphQL y los core assets generados en el sprint.</t>
  </si>
  <si>
    <t>Msc. Antonio Quiña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</si>
</sst>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6" xfId="0" applyBorder="1"/>
    <xf numFmtId="0" fontId="0" fillId="0" borderId="2" xfId="0" applyBorder="1"/>
    <xf numFmtId="0" fontId="2" fillId="0" borderId="10" xfId="0" applyFont="1" applyBorder="1" applyAlignment="1">
      <alignment horizontal="right"/>
    </xf>
    <xf numFmtId="14" fontId="0" fillId="0" borderId="6" xfId="0" applyNumberFormat="1" applyBorder="1"/>
    <xf numFmtId="14" fontId="0" fillId="0" borderId="1" xfId="0" applyNumberFormat="1" applyBorder="1"/>
    <xf numFmtId="14" fontId="5" fillId="0" borderId="6" xfId="0" applyNumberFormat="1" applyFont="1" applyBorder="1"/>
    <xf numFmtId="0" fontId="5" fillId="0" borderId="7" xfId="0" applyFont="1" applyBorder="1"/>
    <xf numFmtId="14" fontId="5" fillId="0" borderId="1" xfId="0" applyNumberFormat="1" applyFont="1" applyBorder="1"/>
    <xf numFmtId="0" fontId="5" fillId="0" borderId="12" xfId="0" applyFont="1" applyBorder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4" fontId="5" fillId="0" borderId="12" xfId="0" applyNumberFormat="1" applyFont="1" applyBorder="1"/>
    <xf numFmtId="14" fontId="0" fillId="0" borderId="12" xfId="0" applyNumberFormat="1" applyBorder="1"/>
    <xf numFmtId="0" fontId="0" fillId="0" borderId="12" xfId="0" applyBorder="1"/>
    <xf numFmtId="0" fontId="0" fillId="0" borderId="14" xfId="0" applyBorder="1"/>
    <xf numFmtId="0" fontId="0" fillId="0" borderId="0" xfId="0" applyAlignment="1">
      <alignment horizontal="left"/>
    </xf>
    <xf numFmtId="0" fontId="9" fillId="3" borderId="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 vertical="center" wrapText="1"/>
    </xf>
    <xf numFmtId="0" fontId="11" fillId="6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left"/>
    </xf>
    <xf numFmtId="0" fontId="12" fillId="6" borderId="1" xfId="0" applyFont="1" applyFill="1" applyBorder="1"/>
    <xf numFmtId="0" fontId="1" fillId="0" borderId="0" xfId="0" applyFont="1" applyAlignment="1">
      <alignment horizontal="right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BB82FC-69FB-43EB-B745-22C61F5476E7}">
  <we:reference id="wa200009404" version="1.0.0.8" store="es-HN" storeType="OMEX"/>
  <we:alternateReferences>
    <we:reference id="WA200009404" version="1.0.0.8" store="" storeType="OMEX"/>
  </we:alternateReferences>
  <we:properties>
    <we:property name="claude.fileId" value="&quot;456f934c-48cc-4623-b03c-b2a5bf875bb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4F34-0CAF-4B31-B81A-A823C63A3ED5}">
  <dimension ref="A2:H35"/>
  <sheetViews>
    <sheetView tabSelected="1" topLeftCell="A21" zoomScale="85" zoomScaleNormal="85" workbookViewId="0">
      <selection activeCell="H38" sqref="H38"/>
    </sheetView>
  </sheetViews>
  <sheetFormatPr baseColWidth="10" defaultColWidth="11.5546875" defaultRowHeight="14.4" x14ac:dyDescent="0.3"/>
  <cols>
    <col min="1" max="1" width="21.109375" customWidth="1"/>
    <col min="2" max="2" width="18.6640625" style="24" customWidth="1"/>
    <col min="3" max="3" width="15.33203125" style="24" customWidth="1"/>
    <col min="4" max="4" width="48.109375" customWidth="1"/>
    <col min="5" max="5" width="13" customWidth="1"/>
    <col min="6" max="7" width="12.5546875" style="1" bestFit="1" customWidth="1"/>
    <col min="8" max="8" width="52.88671875" style="1" customWidth="1"/>
  </cols>
  <sheetData>
    <row r="2" spans="1:8" ht="21" x14ac:dyDescent="0.4">
      <c r="A2" s="62" t="s">
        <v>0</v>
      </c>
      <c r="B2" s="62"/>
      <c r="C2" s="62"/>
      <c r="D2" s="62"/>
      <c r="E2" s="62"/>
      <c r="F2" s="62"/>
      <c r="G2" s="62"/>
      <c r="H2" s="62"/>
    </row>
    <row r="3" spans="1:8" s="18" customFormat="1" ht="18" x14ac:dyDescent="0.35">
      <c r="A3" s="53" t="s">
        <v>1</v>
      </c>
      <c r="B3" s="34" t="s">
        <v>45</v>
      </c>
      <c r="C3" s="33"/>
      <c r="D3" s="33"/>
      <c r="F3" s="19"/>
      <c r="G3" s="19"/>
      <c r="H3" s="19"/>
    </row>
    <row r="4" spans="1:8" x14ac:dyDescent="0.3">
      <c r="A4" s="51" t="s">
        <v>2</v>
      </c>
      <c r="B4" s="52">
        <v>1</v>
      </c>
      <c r="C4"/>
      <c r="D4" s="47" t="s">
        <v>3</v>
      </c>
      <c r="E4" s="58" t="s">
        <v>4</v>
      </c>
      <c r="F4" s="58" t="s">
        <v>5</v>
      </c>
      <c r="G4" s="58" t="s">
        <v>6</v>
      </c>
      <c r="H4" s="58" t="s">
        <v>44</v>
      </c>
    </row>
    <row r="5" spans="1:8" x14ac:dyDescent="0.3">
      <c r="A5" s="51" t="s">
        <v>7</v>
      </c>
      <c r="B5" s="35" t="s">
        <v>74</v>
      </c>
      <c r="C5"/>
      <c r="D5" s="49" t="s">
        <v>46</v>
      </c>
      <c r="E5" s="48">
        <v>6</v>
      </c>
      <c r="F5" s="48">
        <v>5</v>
      </c>
      <c r="G5" s="48">
        <f>SUM(E5:F5)</f>
        <v>11</v>
      </c>
      <c r="H5" s="57">
        <f>2*G5</f>
        <v>22</v>
      </c>
    </row>
    <row r="6" spans="1:8" x14ac:dyDescent="0.3">
      <c r="A6" s="51" t="s">
        <v>8</v>
      </c>
      <c r="B6" s="35" t="s">
        <v>47</v>
      </c>
      <c r="C6"/>
      <c r="D6" s="2" t="s">
        <v>47</v>
      </c>
      <c r="E6" s="48">
        <v>6</v>
      </c>
      <c r="F6" s="48">
        <v>5</v>
      </c>
      <c r="G6" s="48">
        <f t="shared" ref="G6:G7" si="0">SUM(E6:F6)</f>
        <v>11</v>
      </c>
      <c r="H6" s="57">
        <f t="shared" ref="H6:H7" si="1">2*G6</f>
        <v>22</v>
      </c>
    </row>
    <row r="7" spans="1:8" x14ac:dyDescent="0.3">
      <c r="A7" s="51" t="s">
        <v>9</v>
      </c>
      <c r="B7" s="35">
        <v>3</v>
      </c>
      <c r="C7" s="31"/>
      <c r="D7" s="49" t="s">
        <v>48</v>
      </c>
      <c r="E7" s="48">
        <v>6</v>
      </c>
      <c r="F7" s="48">
        <v>5</v>
      </c>
      <c r="G7" s="48">
        <f t="shared" si="0"/>
        <v>11</v>
      </c>
      <c r="H7" s="57">
        <f t="shared" si="1"/>
        <v>22</v>
      </c>
    </row>
    <row r="8" spans="1:8" x14ac:dyDescent="0.3">
      <c r="A8" s="51" t="s">
        <v>10</v>
      </c>
      <c r="B8" s="35">
        <f>H8</f>
        <v>66</v>
      </c>
      <c r="D8" s="60"/>
      <c r="E8" s="60"/>
      <c r="F8" s="50" t="s">
        <v>13</v>
      </c>
      <c r="G8" s="50">
        <f>SUM(G5:G7)</f>
        <v>33</v>
      </c>
      <c r="H8" s="59">
        <f>SUM(H5:H7)</f>
        <v>66</v>
      </c>
    </row>
    <row r="9" spans="1:8" x14ac:dyDescent="0.3">
      <c r="A9" s="51" t="s">
        <v>11</v>
      </c>
      <c r="B9" s="49">
        <v>46189</v>
      </c>
      <c r="C9" s="31"/>
      <c r="D9" s="60"/>
      <c r="E9" s="60"/>
    </row>
    <row r="10" spans="1:8" x14ac:dyDescent="0.3">
      <c r="A10" s="51" t="s">
        <v>12</v>
      </c>
      <c r="B10" s="49">
        <v>46202</v>
      </c>
      <c r="C10" s="31"/>
      <c r="E10" s="1"/>
      <c r="F10" s="36"/>
      <c r="G10" s="36"/>
    </row>
    <row r="11" spans="1:8" x14ac:dyDescent="0.3">
      <c r="A11" s="30"/>
      <c r="B11" s="32"/>
      <c r="C11" s="31"/>
      <c r="F11" s="36"/>
      <c r="G11" s="36"/>
      <c r="H11" s="61"/>
    </row>
    <row r="12" spans="1:8" x14ac:dyDescent="0.3">
      <c r="A12" s="63" t="s">
        <v>14</v>
      </c>
      <c r="B12" s="63"/>
      <c r="C12" s="63"/>
      <c r="D12" s="63"/>
      <c r="E12" s="63"/>
      <c r="F12" s="64" t="s">
        <v>15</v>
      </c>
      <c r="G12" s="64"/>
      <c r="H12" s="64"/>
    </row>
    <row r="13" spans="1:8" s="3" customFormat="1" ht="40.799999999999997" x14ac:dyDescent="0.3">
      <c r="A13" s="41" t="s">
        <v>16</v>
      </c>
      <c r="B13" s="42" t="s">
        <v>17</v>
      </c>
      <c r="C13" s="41" t="s">
        <v>18</v>
      </c>
      <c r="D13" s="43" t="s">
        <v>19</v>
      </c>
      <c r="E13" s="41" t="s">
        <v>20</v>
      </c>
      <c r="F13" s="44" t="s">
        <v>21</v>
      </c>
      <c r="G13" s="44" t="s">
        <v>22</v>
      </c>
      <c r="H13" s="38" t="s">
        <v>23</v>
      </c>
    </row>
    <row r="14" spans="1:8" ht="28.8" customHeight="1" x14ac:dyDescent="0.3">
      <c r="A14" s="65" t="s">
        <v>24</v>
      </c>
      <c r="B14" s="45" t="s">
        <v>46</v>
      </c>
      <c r="C14" s="45" t="s">
        <v>25</v>
      </c>
      <c r="D14" s="45" t="s">
        <v>49</v>
      </c>
      <c r="E14" s="46">
        <v>4</v>
      </c>
      <c r="F14" s="40"/>
      <c r="G14" s="40" t="s">
        <v>26</v>
      </c>
      <c r="H14" s="39"/>
    </row>
    <row r="15" spans="1:8" ht="26.4" x14ac:dyDescent="0.3">
      <c r="A15" s="65"/>
      <c r="B15" s="45" t="s">
        <v>47</v>
      </c>
      <c r="C15" s="45" t="s">
        <v>25</v>
      </c>
      <c r="D15" s="45" t="s">
        <v>50</v>
      </c>
      <c r="E15" s="46">
        <v>2</v>
      </c>
      <c r="F15" s="40"/>
      <c r="G15" s="40" t="s">
        <v>26</v>
      </c>
      <c r="H15" s="39"/>
    </row>
    <row r="16" spans="1:8" ht="47.4" customHeight="1" x14ac:dyDescent="0.3">
      <c r="A16" s="65"/>
      <c r="B16" s="45" t="s">
        <v>48</v>
      </c>
      <c r="C16" s="45" t="s">
        <v>25</v>
      </c>
      <c r="D16" s="45" t="s">
        <v>51</v>
      </c>
      <c r="E16" s="46">
        <v>3</v>
      </c>
      <c r="F16" s="40"/>
      <c r="G16" s="40" t="s">
        <v>26</v>
      </c>
      <c r="H16" s="39"/>
    </row>
    <row r="17" spans="1:8" ht="26.4" x14ac:dyDescent="0.3">
      <c r="A17" s="65"/>
      <c r="B17" s="45" t="s">
        <v>46</v>
      </c>
      <c r="C17" s="45" t="s">
        <v>25</v>
      </c>
      <c r="D17" s="45" t="s">
        <v>52</v>
      </c>
      <c r="E17" s="46">
        <v>4</v>
      </c>
      <c r="F17" s="40"/>
      <c r="G17" s="40" t="s">
        <v>26</v>
      </c>
      <c r="H17" s="39"/>
    </row>
    <row r="18" spans="1:8" ht="27.6" customHeight="1" x14ac:dyDescent="0.3">
      <c r="A18" s="65" t="s">
        <v>53</v>
      </c>
      <c r="B18" s="45" t="s">
        <v>46</v>
      </c>
      <c r="C18" s="45" t="s">
        <v>27</v>
      </c>
      <c r="D18" s="45" t="s">
        <v>54</v>
      </c>
      <c r="E18" s="46">
        <v>3</v>
      </c>
      <c r="F18" s="40"/>
      <c r="G18" s="40" t="s">
        <v>26</v>
      </c>
      <c r="H18" s="39"/>
    </row>
    <row r="19" spans="1:8" ht="26.4" x14ac:dyDescent="0.3">
      <c r="A19" s="65"/>
      <c r="B19" s="45" t="s">
        <v>47</v>
      </c>
      <c r="C19" s="45" t="s">
        <v>27</v>
      </c>
      <c r="D19" s="45" t="s">
        <v>55</v>
      </c>
      <c r="E19" s="46">
        <v>3</v>
      </c>
      <c r="F19" s="40"/>
      <c r="G19" s="40" t="s">
        <v>26</v>
      </c>
      <c r="H19" s="39"/>
    </row>
    <row r="20" spans="1:8" ht="27.6" customHeight="1" x14ac:dyDescent="0.3">
      <c r="A20" s="65" t="s">
        <v>28</v>
      </c>
      <c r="B20" s="45" t="s">
        <v>48</v>
      </c>
      <c r="C20" s="45" t="s">
        <v>29</v>
      </c>
      <c r="D20" s="45" t="s">
        <v>56</v>
      </c>
      <c r="E20" s="46">
        <v>3</v>
      </c>
      <c r="F20" s="40"/>
      <c r="G20" s="40" t="s">
        <v>26</v>
      </c>
      <c r="H20" s="39"/>
    </row>
    <row r="21" spans="1:8" ht="26.4" x14ac:dyDescent="0.3">
      <c r="A21" s="65"/>
      <c r="B21" s="45" t="s">
        <v>48</v>
      </c>
      <c r="C21" s="45" t="s">
        <v>29</v>
      </c>
      <c r="D21" s="45" t="s">
        <v>57</v>
      </c>
      <c r="E21" s="46">
        <v>3</v>
      </c>
      <c r="F21" s="40"/>
      <c r="G21" s="40" t="s">
        <v>26</v>
      </c>
      <c r="H21" s="39"/>
    </row>
    <row r="22" spans="1:8" ht="28.95" customHeight="1" x14ac:dyDescent="0.3">
      <c r="A22" s="65" t="s">
        <v>58</v>
      </c>
      <c r="B22" s="45" t="s">
        <v>46</v>
      </c>
      <c r="C22" s="45" t="s">
        <v>30</v>
      </c>
      <c r="D22" s="45" t="s">
        <v>59</v>
      </c>
      <c r="E22" s="46">
        <v>4</v>
      </c>
      <c r="F22" s="40"/>
      <c r="G22" s="40" t="s">
        <v>26</v>
      </c>
      <c r="H22" s="39"/>
    </row>
    <row r="23" spans="1:8" ht="28.95" customHeight="1" x14ac:dyDescent="0.3">
      <c r="A23" s="65"/>
      <c r="B23" s="45" t="s">
        <v>47</v>
      </c>
      <c r="C23" s="45" t="s">
        <v>30</v>
      </c>
      <c r="D23" s="45" t="s">
        <v>60</v>
      </c>
      <c r="E23" s="46">
        <v>3</v>
      </c>
      <c r="F23" s="40"/>
      <c r="G23" s="40" t="s">
        <v>26</v>
      </c>
      <c r="H23" s="39"/>
    </row>
    <row r="24" spans="1:8" ht="26.4" x14ac:dyDescent="0.3">
      <c r="A24" s="65" t="s">
        <v>31</v>
      </c>
      <c r="B24" s="45" t="s">
        <v>48</v>
      </c>
      <c r="C24" s="45" t="s">
        <v>29</v>
      </c>
      <c r="D24" s="45" t="s">
        <v>61</v>
      </c>
      <c r="E24" s="46">
        <v>1</v>
      </c>
      <c r="F24" s="40"/>
      <c r="G24" s="40" t="s">
        <v>26</v>
      </c>
      <c r="H24" s="39"/>
    </row>
    <row r="25" spans="1:8" ht="26.4" x14ac:dyDescent="0.3">
      <c r="A25" s="65"/>
      <c r="B25" s="45" t="s">
        <v>48</v>
      </c>
      <c r="C25" s="45" t="s">
        <v>29</v>
      </c>
      <c r="D25" s="45" t="s">
        <v>62</v>
      </c>
      <c r="E25" s="46">
        <v>3</v>
      </c>
      <c r="F25" s="40"/>
      <c r="G25" s="40" t="s">
        <v>26</v>
      </c>
      <c r="H25" s="39"/>
    </row>
    <row r="26" spans="1:8" ht="26.4" x14ac:dyDescent="0.3">
      <c r="A26" s="65" t="s">
        <v>63</v>
      </c>
      <c r="B26" s="45" t="s">
        <v>46</v>
      </c>
      <c r="C26" s="45" t="s">
        <v>30</v>
      </c>
      <c r="D26" s="45" t="s">
        <v>64</v>
      </c>
      <c r="E26" s="46">
        <v>4</v>
      </c>
      <c r="F26" s="40"/>
      <c r="G26" s="40" t="s">
        <v>26</v>
      </c>
      <c r="H26" s="39"/>
    </row>
    <row r="27" spans="1:8" ht="26.4" x14ac:dyDescent="0.3">
      <c r="A27" s="65"/>
      <c r="B27" s="45" t="s">
        <v>47</v>
      </c>
      <c r="C27" s="45" t="s">
        <v>30</v>
      </c>
      <c r="D27" s="45" t="s">
        <v>65</v>
      </c>
      <c r="E27" s="46">
        <v>4</v>
      </c>
      <c r="F27" s="40"/>
      <c r="G27" s="40" t="s">
        <v>26</v>
      </c>
      <c r="H27" s="39"/>
    </row>
    <row r="28" spans="1:8" ht="26.4" x14ac:dyDescent="0.3">
      <c r="A28" s="65" t="s">
        <v>66</v>
      </c>
      <c r="B28" s="45" t="s">
        <v>48</v>
      </c>
      <c r="C28" s="45" t="s">
        <v>29</v>
      </c>
      <c r="D28" s="45" t="s">
        <v>67</v>
      </c>
      <c r="E28" s="46">
        <v>3</v>
      </c>
      <c r="F28" s="40"/>
      <c r="G28" s="40" t="s">
        <v>26</v>
      </c>
      <c r="H28" s="39"/>
    </row>
    <row r="29" spans="1:8" ht="26.4" x14ac:dyDescent="0.3">
      <c r="A29" s="65"/>
      <c r="B29" s="45" t="s">
        <v>47</v>
      </c>
      <c r="C29" s="45" t="s">
        <v>30</v>
      </c>
      <c r="D29" s="45" t="s">
        <v>68</v>
      </c>
      <c r="E29" s="46">
        <v>3</v>
      </c>
      <c r="F29" s="40"/>
      <c r="G29" s="40" t="s">
        <v>26</v>
      </c>
      <c r="H29" s="39"/>
    </row>
    <row r="30" spans="1:8" ht="26.4" x14ac:dyDescent="0.3">
      <c r="A30" s="65" t="s">
        <v>69</v>
      </c>
      <c r="B30" s="45" t="s">
        <v>47</v>
      </c>
      <c r="C30" s="45" t="s">
        <v>32</v>
      </c>
      <c r="D30" s="45" t="s">
        <v>70</v>
      </c>
      <c r="E30" s="46">
        <v>3</v>
      </c>
      <c r="F30" s="40"/>
      <c r="G30" s="40" t="s">
        <v>26</v>
      </c>
      <c r="H30" s="39"/>
    </row>
    <row r="31" spans="1:8" ht="26.4" x14ac:dyDescent="0.3">
      <c r="A31" s="65"/>
      <c r="B31" s="45" t="s">
        <v>48</v>
      </c>
      <c r="C31" s="45" t="s">
        <v>32</v>
      </c>
      <c r="D31" s="45" t="s">
        <v>71</v>
      </c>
      <c r="E31" s="46">
        <v>3</v>
      </c>
      <c r="F31" s="40"/>
      <c r="G31" s="40" t="s">
        <v>26</v>
      </c>
      <c r="H31" s="39"/>
    </row>
    <row r="32" spans="1:8" ht="26.4" x14ac:dyDescent="0.3">
      <c r="A32" s="65"/>
      <c r="B32" s="45" t="s">
        <v>46</v>
      </c>
      <c r="C32" s="45" t="s">
        <v>32</v>
      </c>
      <c r="D32" s="45" t="s">
        <v>72</v>
      </c>
      <c r="E32" s="46">
        <v>4</v>
      </c>
      <c r="F32" s="40"/>
      <c r="G32" s="40" t="s">
        <v>26</v>
      </c>
      <c r="H32" s="39"/>
    </row>
    <row r="33" spans="1:8" ht="40.950000000000003" customHeight="1" x14ac:dyDescent="0.3">
      <c r="A33" s="65" t="s">
        <v>33</v>
      </c>
      <c r="B33" s="45" t="s">
        <v>47</v>
      </c>
      <c r="C33" s="45" t="s">
        <v>34</v>
      </c>
      <c r="D33" s="45" t="s">
        <v>73</v>
      </c>
      <c r="E33" s="46">
        <v>3</v>
      </c>
      <c r="F33" s="40"/>
      <c r="G33" s="40" t="s">
        <v>26</v>
      </c>
      <c r="H33" s="39"/>
    </row>
    <row r="34" spans="1:8" ht="18.600000000000001" customHeight="1" thickBot="1" x14ac:dyDescent="0.35">
      <c r="A34" s="65"/>
      <c r="B34" s="45" t="s">
        <v>35</v>
      </c>
      <c r="C34" s="45" t="s">
        <v>36</v>
      </c>
      <c r="D34" s="45" t="s">
        <v>37</v>
      </c>
      <c r="E34" s="46">
        <v>3</v>
      </c>
      <c r="F34" s="40"/>
      <c r="G34" s="40" t="s">
        <v>26</v>
      </c>
      <c r="H34" s="39"/>
    </row>
    <row r="35" spans="1:8" ht="15" thickBot="1" x14ac:dyDescent="0.35">
      <c r="A35" s="24"/>
      <c r="D35" s="54" t="s">
        <v>38</v>
      </c>
      <c r="E35" s="55">
        <f>SUM(E14:E34)</f>
        <v>66</v>
      </c>
      <c r="F35" s="56">
        <f>SUM(F14:F34)</f>
        <v>0</v>
      </c>
      <c r="G35" s="37"/>
      <c r="H35"/>
    </row>
  </sheetData>
  <autoFilter ref="A13:H35" xr:uid="{F9972417-31EB-45FD-B5CB-5DA16CED822C}"/>
  <mergeCells count="12">
    <mergeCell ref="A20:A21"/>
    <mergeCell ref="A22:A23"/>
    <mergeCell ref="A33:A34"/>
    <mergeCell ref="A30:A32"/>
    <mergeCell ref="A28:A29"/>
    <mergeCell ref="A26:A27"/>
    <mergeCell ref="A24:A25"/>
    <mergeCell ref="A2:H2"/>
    <mergeCell ref="A12:E12"/>
    <mergeCell ref="F12:H12"/>
    <mergeCell ref="A14:A17"/>
    <mergeCell ref="A18:A1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workbookViewId="0">
      <selection activeCell="C8" sqref="C8"/>
    </sheetView>
  </sheetViews>
  <sheetFormatPr baseColWidth="10" defaultColWidth="11.5546875" defaultRowHeight="14.4" x14ac:dyDescent="0.3"/>
  <cols>
    <col min="1" max="1" width="8.6640625" bestFit="1" customWidth="1"/>
    <col min="2" max="2" width="21.6640625" bestFit="1" customWidth="1"/>
    <col min="3" max="3" width="64.5546875" bestFit="1" customWidth="1"/>
    <col min="4" max="4" width="13.88671875" bestFit="1" customWidth="1"/>
  </cols>
  <sheetData>
    <row r="2" spans="1:4" ht="28.8" x14ac:dyDescent="0.55000000000000004">
      <c r="C2" s="29" t="s">
        <v>39</v>
      </c>
    </row>
    <row r="3" spans="1:4" ht="15" thickBot="1" x14ac:dyDescent="0.35"/>
    <row r="4" spans="1:4" s="18" customFormat="1" ht="18" x14ac:dyDescent="0.35">
      <c r="A4" s="25" t="s">
        <v>40</v>
      </c>
      <c r="B4" s="26" t="s">
        <v>41</v>
      </c>
      <c r="C4" s="27" t="s">
        <v>19</v>
      </c>
      <c r="D4" s="28" t="s">
        <v>42</v>
      </c>
    </row>
    <row r="5" spans="1:4" x14ac:dyDescent="0.3">
      <c r="A5" s="12"/>
      <c r="B5" s="12"/>
      <c r="C5" s="2"/>
      <c r="D5" s="4"/>
    </row>
    <row r="6" spans="1:4" x14ac:dyDescent="0.3">
      <c r="A6" s="13"/>
      <c r="B6" s="20"/>
      <c r="C6" s="2"/>
      <c r="D6" s="14"/>
    </row>
    <row r="7" spans="1:4" x14ac:dyDescent="0.3">
      <c r="A7" s="12"/>
      <c r="B7" s="12"/>
      <c r="C7" s="16"/>
      <c r="D7" s="14"/>
    </row>
    <row r="8" spans="1:4" x14ac:dyDescent="0.3">
      <c r="A8" s="15"/>
      <c r="B8" s="15"/>
      <c r="C8" s="17"/>
      <c r="D8" s="14"/>
    </row>
    <row r="9" spans="1:4" x14ac:dyDescent="0.3">
      <c r="A9" s="11"/>
      <c r="B9" s="21"/>
      <c r="C9" s="2"/>
      <c r="D9" s="4"/>
    </row>
    <row r="10" spans="1:4" x14ac:dyDescent="0.3">
      <c r="A10" s="11"/>
      <c r="B10" s="21"/>
      <c r="C10" s="2"/>
      <c r="D10" s="4"/>
    </row>
    <row r="11" spans="1:4" x14ac:dyDescent="0.3">
      <c r="A11" s="8"/>
      <c r="B11" s="22"/>
      <c r="C11" s="2"/>
      <c r="D11" s="4"/>
    </row>
    <row r="12" spans="1:4" x14ac:dyDescent="0.3">
      <c r="A12" s="8"/>
      <c r="B12" s="22"/>
      <c r="C12" s="2"/>
      <c r="D12" s="4"/>
    </row>
    <row r="13" spans="1:4" x14ac:dyDescent="0.3">
      <c r="A13" s="8"/>
      <c r="B13" s="22"/>
      <c r="C13" s="2"/>
      <c r="D13" s="4"/>
    </row>
    <row r="14" spans="1:4" x14ac:dyDescent="0.3">
      <c r="A14" s="8"/>
      <c r="B14" s="22"/>
      <c r="C14" s="2"/>
      <c r="D14" s="4"/>
    </row>
    <row r="15" spans="1:4" x14ac:dyDescent="0.3">
      <c r="A15" s="8"/>
      <c r="B15" s="22"/>
      <c r="C15" s="2"/>
      <c r="D15" s="4"/>
    </row>
    <row r="16" spans="1:4" x14ac:dyDescent="0.3">
      <c r="A16" s="8"/>
      <c r="B16" s="22"/>
      <c r="C16" s="2"/>
      <c r="D16" s="4"/>
    </row>
    <row r="17" spans="1:4" x14ac:dyDescent="0.3">
      <c r="A17" s="8"/>
      <c r="B17" s="22"/>
      <c r="C17" s="2"/>
      <c r="D17" s="4"/>
    </row>
    <row r="18" spans="1:4" ht="15" thickBot="1" x14ac:dyDescent="0.35">
      <c r="A18" s="5"/>
      <c r="B18" s="23"/>
      <c r="C18" s="9"/>
      <c r="D18" s="6"/>
    </row>
    <row r="19" spans="1:4" ht="16.2" thickBot="1" x14ac:dyDescent="0.35">
      <c r="C19" s="10" t="s">
        <v>43</v>
      </c>
      <c r="D19" s="7">
        <f>SUM(D5:D18)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Sprint0</vt:lpstr>
      <vt:lpstr>No planificadas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Quiña Mera</dc:creator>
  <cp:keywords/>
  <dc:description/>
  <cp:lastModifiedBy>Alex Ronaldo Luna Quilumba</cp:lastModifiedBy>
  <cp:revision/>
  <dcterms:created xsi:type="dcterms:W3CDTF">2015-09-29T13:30:45Z</dcterms:created>
  <dcterms:modified xsi:type="dcterms:W3CDTF">2026-06-17T13:58:38Z</dcterms:modified>
  <cp:category/>
  <cp:contentStatus/>
</cp:coreProperties>
</file>